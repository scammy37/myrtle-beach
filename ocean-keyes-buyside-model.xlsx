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y-Side Model" sheetId="1" state="visible" r:id="rId3"/>
    <sheet name="Notes &amp; Sources"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Base case = mid of the current Ocean Keyes 2BR list range ~$265k-$340k. Source: MLS active listings via Century21 Harrelson Group / GrandStrandProperties, Aug 2026.</t>
        </r>
      </text>
    </comment>
    <comment ref="B6" authorId="0">
      <text>
        <r>
          <rPr>
            <sz val="10"/>
            <rFont val="Arial"/>
            <family val="2"/>
          </rPr>
          <t xml:space="preserve">Investment/second-home condos typically require 20-25% down. 25% base case.</t>
        </r>
      </text>
    </comment>
    <comment ref="B9" authorId="0">
      <text>
        <r>
          <rPr>
            <sz val="10"/>
            <rFont val="Arial"/>
            <family val="2"/>
          </rPr>
          <t xml:space="preserve">~0.5% above the ~6.78% owner-occupied rate (Bankrate, Aug 11 2026) for investment-classified financing. Use ~6.8% if you finance as a true second home.</t>
        </r>
      </text>
    </comment>
    <comment ref="B15" authorId="0">
      <text>
        <r>
          <rPr>
            <sz val="10"/>
            <rFont val="Arial"/>
            <family val="2"/>
          </rPr>
          <t xml:space="preserve">Buyer closing costs in SC typically ~2-4% (title, attorney, recording, prepaids). 3% base.</t>
        </r>
      </text>
    </comment>
    <comment ref="B17" authorId="0">
      <text>
        <r>
          <rPr>
            <sz val="10"/>
            <rFont val="Arial"/>
            <family val="2"/>
          </rPr>
          <t xml:space="preserve">Many Ocean Keyes 2BRs sell furnished, so budget is modest top-up. Raise to $12k-$20k if buying unfurnished.</t>
        </r>
      </text>
    </comment>
    <comment ref="B21" authorId="0">
      <text>
        <r>
          <rPr>
            <sz val="10"/>
            <rFont val="Arial"/>
            <family val="2"/>
          </rPr>
          <t xml:space="preserve">ESTIMATE — VERIFY on the actual listing/MLS. Ocean Keyes HOA covers water, sewer, trash, wifi, cable, lawn, security, exterior insurance. Second-row garden condos w/ heavy amenities (6 pools, 6 hot tubs, gym) est. ~$450-650/mo. Source: oakandocean.com listing; gregharrelson.com HOA guide.</t>
        </r>
      </text>
    </comment>
    <comment ref="B22" authorId="0">
      <text>
        <r>
          <rPr>
            <sz val="10"/>
            <rFont val="Arial"/>
            <family val="2"/>
          </rPr>
          <t xml:space="preserve">ESTIMATE — VERIFY on Horry County tax estimator. Second homes are assessed at 6% ratio (vs 4% primary) and pay school-operating millage, running ~2-3x a primary bill. ~1.0% of price used here. Source: Horry County Assessor; abesafa.com SC property tax guide, 2026.</t>
        </r>
      </text>
    </comment>
    <comment ref="B23" authorId="0">
      <text>
        <r>
          <rPr>
            <sz val="10"/>
            <rFont val="Arial"/>
            <family val="2"/>
          </rPr>
          <t xml:space="preserve">Interior/contents HO-6 plus short-term-rental liability rider; exterior/wind/flood is inside the HOA. Source: homesforsalelistings.net SC condo ownership guide.</t>
        </r>
      </text>
    </comment>
    <comment ref="B24" authorId="0">
      <text>
        <r>
          <rPr>
            <sz val="10"/>
            <rFont val="Arial"/>
            <family val="2"/>
          </rPr>
          <t xml:space="preserve">Owner pays power; water/cable/wifi/trash are in the HOA.</t>
        </r>
      </text>
    </comment>
    <comment ref="B25" authorId="0">
      <text>
        <r>
          <rPr>
            <sz val="10"/>
            <rFont val="Arial"/>
            <family val="2"/>
          </rPr>
          <t xml:space="preserve">Cleaning is mostly passed to guests as a fee; this covers the net shortfall / owner stays.</t>
        </r>
      </text>
    </comment>
    <comment ref="B26" authorId="0">
      <text>
        <r>
          <rPr>
            <sz val="10"/>
            <rFont val="Arial"/>
            <family val="2"/>
          </rPr>
          <t xml:space="preserve">Linens, paper, toiletries, restocking, minor replacements.</t>
        </r>
      </text>
    </comment>
    <comment ref="B27" authorId="0">
      <text>
        <r>
          <rPr>
            <sz val="10"/>
            <rFont val="Arial"/>
            <family val="2"/>
          </rPr>
          <t xml:space="preserve">NMB requires an STR permit + local responsible agent + business license. Source: homeguidemyrtlebeach.com.</t>
        </r>
      </text>
    </comment>
    <comment ref="B28" authorId="0">
      <text>
        <r>
          <rPr>
            <sz val="10"/>
            <rFont val="Arial"/>
            <family val="2"/>
          </rPr>
          <t xml:space="preserve">Reserve for periodic re-furnishing / appliance replacement.</t>
        </r>
      </text>
    </comment>
    <comment ref="B29" authorId="0">
      <text>
        <r>
          <rPr>
            <sz val="10"/>
            <rFont val="Arial"/>
            <family val="2"/>
          </rPr>
          <t xml:space="preserve">Airbnb host service fee ~3% (Vrbo similar under host-pays).</t>
        </r>
      </text>
    </comment>
    <comment ref="B30" authorId="0">
      <text>
        <r>
          <rPr>
            <sz val="10"/>
            <rFont val="Arial"/>
            <family val="2"/>
          </rPr>
          <t xml:space="preserve">Interior repairs, HVAC servicing, turnover fixes.</t>
        </r>
      </text>
    </comment>
    <comment ref="C33" authorId="0">
      <text>
        <r>
          <rPr>
            <sz val="10"/>
            <rFont val="Arial"/>
            <family val="2"/>
          </rPr>
          <t xml:space="preserve">Off-beach, softer occupancy</t>
        </r>
      </text>
    </comment>
    <comment ref="C34" authorId="0">
      <text>
        <r>
          <rPr>
            <sz val="10"/>
            <rFont val="Arial"/>
            <family val="2"/>
          </rPr>
          <t xml:space="preserve">Off-beach NMB 2BR, self-managed. Market context: NMB STR avg revenue $34k-$50k blends oceanfront (which earns ~58% more than off-beach); median MB 3BR ~$19.6k. Sources: AirROI, AirDNA, RedAwning, TheShortTermShop, 2026.</t>
        </r>
      </text>
    </comment>
    <comment ref="D33" authorId="0">
      <text>
        <r>
          <rPr>
            <sz val="10"/>
            <rFont val="Arial"/>
            <family val="2"/>
          </rPr>
          <t xml:space="preserve">Realistic self-managed, all weeks marketed</t>
        </r>
      </text>
    </comment>
    <comment ref="E33" authorId="0">
      <text>
        <r>
          <rPr>
            <sz val="10"/>
            <rFont val="Arial"/>
            <family val="2"/>
          </rPr>
          <t xml:space="preserve">Strong summer capture + rate discipline</t>
        </r>
      </text>
    </comment>
  </commentList>
</comments>
</file>

<file path=xl/sharedStrings.xml><?xml version="1.0" encoding="utf-8"?>
<sst xmlns="http://schemas.openxmlformats.org/spreadsheetml/2006/main" count="65" uniqueCount="62">
  <si>
    <t xml:space="preserve">Ocean Keyes — 2BR/2BA Buy-Side Investment Model (self-managed short-term rental)</t>
  </si>
  <si>
    <t xml:space="preserve">North Myrtle Beach, SC 29582  •  Blue = your inputs  •  Yellow = verify before relying on it  •  Black = calculated</t>
  </si>
  <si>
    <t xml:space="preserve">PURCHASE &amp; FINANCING</t>
  </si>
  <si>
    <t xml:space="preserve">Purchase price</t>
  </si>
  <si>
    <t xml:space="preserve">Down payment %</t>
  </si>
  <si>
    <t xml:space="preserve">Down payment $</t>
  </si>
  <si>
    <t xml:space="preserve">Loan amount</t>
  </si>
  <si>
    <t xml:space="preserve">Interest rate (annual)</t>
  </si>
  <si>
    <t xml:space="preserve">Loan term (years)</t>
  </si>
  <si>
    <t xml:space="preserve">Monthly payment (P&amp;I)</t>
  </si>
  <si>
    <t xml:space="preserve">Annual debt service</t>
  </si>
  <si>
    <t xml:space="preserve">ACQUISITION — TOTAL CASH INVESTED</t>
  </si>
  <si>
    <t xml:space="preserve">Closing costs %</t>
  </si>
  <si>
    <t xml:space="preserve">Closing costs $</t>
  </si>
  <si>
    <t xml:space="preserve">Furnishing / turnkey setup</t>
  </si>
  <si>
    <t xml:space="preserve">Total cash invested</t>
  </si>
  <si>
    <t xml:space="preserve">OPERATING ASSUMPTIONS (annual unless noted)</t>
  </si>
  <si>
    <t xml:space="preserve">HOA / regime fee</t>
  </si>
  <si>
    <t xml:space="preserve">Property tax (2nd home)</t>
  </si>
  <si>
    <t xml:space="preserve">STR insurance (HO-6 + rider)</t>
  </si>
  <si>
    <t xml:space="preserve">Electric (owner-paid)</t>
  </si>
  <si>
    <t xml:space="preserve">Cleaning slippage (net of guest fees)</t>
  </si>
  <si>
    <t xml:space="preserve">Supplies &amp; consumables</t>
  </si>
  <si>
    <t xml:space="preserve">STR permit / business license / agent</t>
  </si>
  <si>
    <t xml:space="preserve">Capital reserve (furniture replacement)</t>
  </si>
  <si>
    <t xml:space="preserve">Platform / booking fee (% of gross)</t>
  </si>
  <si>
    <t xml:space="preserve">Repairs &amp; maintenance (% of gross)</t>
  </si>
  <si>
    <t xml:space="preserve">ANNUAL PRO FORMA — RENTAL SCENARIOS</t>
  </si>
  <si>
    <t xml:space="preserve">Line item</t>
  </si>
  <si>
    <t xml:space="preserve">Conservative</t>
  </si>
  <si>
    <t xml:space="preserve">Base</t>
  </si>
  <si>
    <t xml:space="preserve">Optimistic</t>
  </si>
  <si>
    <t xml:space="preserve">Gross rental revenue</t>
  </si>
  <si>
    <t xml:space="preserve">Platform / booking fees</t>
  </si>
  <si>
    <t xml:space="preserve">Repairs &amp; maintenance</t>
  </si>
  <si>
    <t xml:space="preserve">STR insurance</t>
  </si>
  <si>
    <t xml:space="preserve">Electric</t>
  </si>
  <si>
    <t xml:space="preserve">Cleaning slippage</t>
  </si>
  <si>
    <t xml:space="preserve">STR permit / license / agent</t>
  </si>
  <si>
    <t xml:space="preserve">Capital reserve</t>
  </si>
  <si>
    <t xml:space="preserve">Total operating expenses</t>
  </si>
  <si>
    <t xml:space="preserve">Net Operating Income (NOI)</t>
  </si>
  <si>
    <t xml:space="preserve">Annual debt service (P&amp;I)</t>
  </si>
  <si>
    <t xml:space="preserve">Pre-tax cash flow</t>
  </si>
  <si>
    <t xml:space="preserve">  ...per month</t>
  </si>
  <si>
    <t xml:space="preserve">RETURN METRICS</t>
  </si>
  <si>
    <t xml:space="preserve">Cap rate (NOI / all-in cost)</t>
  </si>
  <si>
    <t xml:space="preserve">Cash-on-cash return</t>
  </si>
  <si>
    <t xml:space="preserve">DSCR (NOI / debt service)</t>
  </si>
  <si>
    <t xml:space="preserve">Break-even gross revenue (cash flow = 0)</t>
  </si>
  <si>
    <t xml:space="preserve">Memo: mgmt fee avoided by self-managing (~20% of gross)</t>
  </si>
  <si>
    <t xml:space="preserve">NOTES, ASSUMPTIONS &amp; WHAT TO VERIFY</t>
  </si>
  <si>
    <t xml:space="preserve">This is a decision-support model, not an appraisal or tax opinion. Change any blue cell to fit a real target unit.</t>
  </si>
  <si>
    <t xml:space="preserve">MUST-VERIFY (yellow cells) — these two swing the return the most:</t>
  </si>
  <si>
    <t xml:space="preserve">1. HOA / regime fee: pull the exact figure from the specific unit's MLS listing or the Ocean Keyes POA. Ocean Keyes bundles water, sewer, trash, wifi, cable, lawn, security and exterior insurance, so its fee runs higher than a bare-bones condo but removes several owner utility bills.</t>
  </si>
  <si>
    <t xml:space="preserve">2. Property tax: run the actual unit on the Horry County tax estimator at the 6% (second-home) ratio. Second homes are assessed at 6% vs 4% for a primary residence and also pay school-operating millage, so the bill is roughly 2-3x what an owner-occupant would pay on the same unit.</t>
  </si>
  <si>
    <t xml:space="preserve">FINANCING: Investment-classified condos usually need 20-25% down at a rate ~0.5% above owner-occupied (~6.78% on Aug 11, 2026 per Bankrate). If you genuinely use it as a second home you may qualify for better terms — but marketing all available weeks reads as investment use to most lenders.</t>
  </si>
  <si>
    <t xml:space="preserve">REVENUE: Ocean Keyes is ~2 blocks back (not oceanfront), so model it toward the middle-to-lower band of NMB short-term averages. Published NMB averages ($34k AirROI / ~$36k AirDNA / ~$50k RedAwning) blend in oceanfront units, which earn ~58% more than off-beach comps. Summer (Jun-Aug) drives ~45% of annual revenue, so peak-week pricing discipline matters more than chasing shoulder-season nights.</t>
  </si>
  <si>
    <t xml:space="preserve">ACCOMMODATIONS TAX: SC state + Horry County + NMB local accommodations taxes are collected from the guest and remitted — a pass-through, so they are excluded from this owner P&amp;L. Airbnb/Vrbo remit some automatically; confirm which you must file yourself.</t>
  </si>
  <si>
    <t xml:space="preserve">SELF-MANAGEMENT: The model assumes you self-manage (no 20-25% management fee), consistent with your plan to run all available weeks yourself. The 'memo' row shows the fee you're avoiding. A management company would cut cash-on-cash by roughly that amount.</t>
  </si>
  <si>
    <t xml:space="preserve">NOT INCLUDED: appreciation, principal paydown (equity build), income-tax effects/depreciation, and one-off special assessments. Coastal condo associations do levy special assessments periodically — ask for the reserve-study status and any pending assessments before buying.</t>
  </si>
  <si>
    <t xml:space="preserve">SOURCES: Redfin, Zillow, Movoto, Bankrate (prices &amp; rates); AirROI, AirDNA, RedAwning, TheShortTermShop (STR performance); Horry County Assessor &amp; SC property-tax guides (tax); Century21 Harrelson Group, GrandStrandProperties, oakandocean.com (Ocean Keyes listings &amp; HOA inclusions). All accessed Aug 2026.</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</si>
</sst>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
    <numFmt numFmtId="168" formatCode="0.00\x"/>
  </numFmts>
  <fonts count="1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0000FF"/>
      <name val="Arial"/>
      <family val="0"/>
      <charset val="1"/>
    </font>
    <font>
      <i val="true"/>
      <sz val="10"/>
      <color rgb="FF000000"/>
      <name val="Arial"/>
      <family val="0"/>
      <charset val="1"/>
    </font>
    <font>
      <i val="true"/>
      <sz val="10"/>
      <color rgb="FF595959"/>
      <name val="Arial"/>
      <family val="0"/>
      <charset val="1"/>
    </font>
    <font>
      <sz val="10"/>
      <name val="Arial"/>
      <family val="2"/>
    </font>
    <font>
      <b val="true"/>
      <sz val="12"/>
      <color rgb="FF000000"/>
      <name val="Arial"/>
      <family val="0"/>
      <charset val="1"/>
    </font>
    <font>
      <b val="true"/>
      <sz val="11"/>
      <color rgb="FF000000"/>
      <name val="Arial"/>
      <family val="0"/>
      <charset val="1"/>
    </font>
    <font>
      <sz val="9"/>
      <color rgb="FF0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00"/>
        <bgColor rgb="FFFFFF00"/>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6"/>
  </cols>
  <sheetData>
    <row r="1" customFormat="false" ht="24"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c r="C4" s="3"/>
      <c r="D4" s="3"/>
      <c r="E4" s="3"/>
    </row>
    <row r="5" customFormat="false" ht="15" hidden="false" customHeight="false" outlineLevel="0" collapsed="false">
      <c r="A5" s="4" t="s">
        <v>3</v>
      </c>
      <c r="B5" s="5" t="n">
        <v>300000</v>
      </c>
    </row>
    <row r="6" customFormat="false" ht="15" hidden="false" customHeight="false" outlineLevel="0" collapsed="false">
      <c r="A6" s="4" t="s">
        <v>4</v>
      </c>
      <c r="B6" s="6" t="n">
        <v>0.25</v>
      </c>
    </row>
    <row r="7" customFormat="false" ht="15" hidden="false" customHeight="false" outlineLevel="0" collapsed="false">
      <c r="A7" s="4" t="s">
        <v>5</v>
      </c>
      <c r="B7" s="7" t="n">
        <f aca="false">B5*B6</f>
        <v>75000</v>
      </c>
    </row>
    <row r="8" customFormat="false" ht="15" hidden="false" customHeight="false" outlineLevel="0" collapsed="false">
      <c r="A8" s="4" t="s">
        <v>6</v>
      </c>
      <c r="B8" s="7" t="n">
        <f aca="false">B5-B7</f>
        <v>225000</v>
      </c>
    </row>
    <row r="9" customFormat="false" ht="15" hidden="false" customHeight="false" outlineLevel="0" collapsed="false">
      <c r="A9" s="4" t="s">
        <v>7</v>
      </c>
      <c r="B9" s="6" t="n">
        <v>0.0725</v>
      </c>
    </row>
    <row r="10" customFormat="false" ht="15" hidden="false" customHeight="false" outlineLevel="0" collapsed="false">
      <c r="A10" s="4" t="s">
        <v>8</v>
      </c>
      <c r="B10" s="8" t="n">
        <v>30</v>
      </c>
    </row>
    <row r="11" customFormat="false" ht="15" hidden="false" customHeight="false" outlineLevel="0" collapsed="false">
      <c r="A11" s="4" t="s">
        <v>9</v>
      </c>
      <c r="B11" s="7" t="n">
        <f aca="false">-PMT(B9/12,B10*12,B8)</f>
        <v>1534.89663012643</v>
      </c>
    </row>
    <row r="12" customFormat="false" ht="15" hidden="false" customHeight="false" outlineLevel="0" collapsed="false">
      <c r="A12" s="4" t="s">
        <v>10</v>
      </c>
      <c r="B12" s="7" t="n">
        <f aca="false">B11*12</f>
        <v>18418.7595615172</v>
      </c>
    </row>
    <row r="14" customFormat="false" ht="15" hidden="false" customHeight="false" outlineLevel="0" collapsed="false">
      <c r="A14" s="3" t="s">
        <v>11</v>
      </c>
      <c r="B14" s="3"/>
      <c r="C14" s="3"/>
      <c r="D14" s="3"/>
      <c r="E14" s="3"/>
    </row>
    <row r="15" customFormat="false" ht="15" hidden="false" customHeight="false" outlineLevel="0" collapsed="false">
      <c r="A15" s="4" t="s">
        <v>12</v>
      </c>
      <c r="B15" s="6" t="n">
        <v>0.03</v>
      </c>
    </row>
    <row r="16" customFormat="false" ht="15" hidden="false" customHeight="false" outlineLevel="0" collapsed="false">
      <c r="A16" s="4" t="s">
        <v>13</v>
      </c>
      <c r="B16" s="7" t="n">
        <f aca="false">B5*B15</f>
        <v>9000</v>
      </c>
    </row>
    <row r="17" customFormat="false" ht="15" hidden="false" customHeight="false" outlineLevel="0" collapsed="false">
      <c r="A17" s="4" t="s">
        <v>14</v>
      </c>
      <c r="B17" s="5" t="n">
        <v>5000</v>
      </c>
    </row>
    <row r="18" customFormat="false" ht="15" hidden="false" customHeight="false" outlineLevel="0" collapsed="false">
      <c r="A18" s="9" t="s">
        <v>15</v>
      </c>
      <c r="B18" s="10" t="n">
        <f aca="false">B7+B16+B17</f>
        <v>89000</v>
      </c>
    </row>
    <row r="20" customFormat="false" ht="15" hidden="false" customHeight="false" outlineLevel="0" collapsed="false">
      <c r="A20" s="3" t="s">
        <v>16</v>
      </c>
      <c r="B20" s="3"/>
      <c r="C20" s="3"/>
      <c r="D20" s="3"/>
      <c r="E20" s="3"/>
    </row>
    <row r="21" customFormat="false" ht="15" hidden="false" customHeight="false" outlineLevel="0" collapsed="false">
      <c r="A21" s="4" t="s">
        <v>17</v>
      </c>
      <c r="B21" s="11" t="n">
        <v>6600</v>
      </c>
    </row>
    <row r="22" customFormat="false" ht="15" hidden="false" customHeight="false" outlineLevel="0" collapsed="false">
      <c r="A22" s="4" t="s">
        <v>18</v>
      </c>
      <c r="B22" s="11" t="n">
        <v>3000</v>
      </c>
    </row>
    <row r="23" customFormat="false" ht="15" hidden="false" customHeight="false" outlineLevel="0" collapsed="false">
      <c r="A23" s="4" t="s">
        <v>19</v>
      </c>
      <c r="B23" s="5" t="n">
        <v>1100</v>
      </c>
    </row>
    <row r="24" customFormat="false" ht="15" hidden="false" customHeight="false" outlineLevel="0" collapsed="false">
      <c r="A24" s="4" t="s">
        <v>20</v>
      </c>
      <c r="B24" s="5" t="n">
        <v>1800</v>
      </c>
    </row>
    <row r="25" customFormat="false" ht="15" hidden="false" customHeight="false" outlineLevel="0" collapsed="false">
      <c r="A25" s="4" t="s">
        <v>21</v>
      </c>
      <c r="B25" s="5" t="n">
        <v>1200</v>
      </c>
    </row>
    <row r="26" customFormat="false" ht="15" hidden="false" customHeight="false" outlineLevel="0" collapsed="false">
      <c r="A26" s="4" t="s">
        <v>22</v>
      </c>
      <c r="B26" s="5" t="n">
        <v>1000</v>
      </c>
    </row>
    <row r="27" customFormat="false" ht="15" hidden="false" customHeight="false" outlineLevel="0" collapsed="false">
      <c r="A27" s="4" t="s">
        <v>23</v>
      </c>
      <c r="B27" s="5" t="n">
        <v>500</v>
      </c>
    </row>
    <row r="28" customFormat="false" ht="15" hidden="false" customHeight="false" outlineLevel="0" collapsed="false">
      <c r="A28" s="4" t="s">
        <v>24</v>
      </c>
      <c r="B28" s="5" t="n">
        <v>1200</v>
      </c>
    </row>
    <row r="29" customFormat="false" ht="15" hidden="false" customHeight="false" outlineLevel="0" collapsed="false">
      <c r="A29" s="4" t="s">
        <v>25</v>
      </c>
      <c r="B29" s="6" t="n">
        <v>0.03</v>
      </c>
    </row>
    <row r="30" customFormat="false" ht="15" hidden="false" customHeight="false" outlineLevel="0" collapsed="false">
      <c r="A30" s="4" t="s">
        <v>26</v>
      </c>
      <c r="B30" s="6" t="n">
        <v>0.06</v>
      </c>
    </row>
    <row r="32" customFormat="false" ht="15" hidden="false" customHeight="false" outlineLevel="0" collapsed="false">
      <c r="A32" s="3" t="s">
        <v>27</v>
      </c>
      <c r="B32" s="3"/>
      <c r="C32" s="3"/>
      <c r="D32" s="3"/>
      <c r="E32" s="3"/>
    </row>
    <row r="33" customFormat="false" ht="15" hidden="false" customHeight="false" outlineLevel="0" collapsed="false">
      <c r="A33" s="12" t="s">
        <v>28</v>
      </c>
      <c r="C33" s="13" t="s">
        <v>29</v>
      </c>
      <c r="D33" s="13" t="s">
        <v>30</v>
      </c>
      <c r="E33" s="13" t="s">
        <v>31</v>
      </c>
    </row>
    <row r="34" customFormat="false" ht="15" hidden="false" customHeight="false" outlineLevel="0" collapsed="false">
      <c r="A34" s="14" t="s">
        <v>32</v>
      </c>
      <c r="C34" s="15" t="n">
        <v>20000</v>
      </c>
      <c r="D34" s="15" t="n">
        <v>26000</v>
      </c>
      <c r="E34" s="15" t="n">
        <v>32000</v>
      </c>
    </row>
    <row r="35" customFormat="false" ht="15" hidden="false" customHeight="false" outlineLevel="0" collapsed="false">
      <c r="A35" s="16" t="s">
        <v>33</v>
      </c>
      <c r="C35" s="17" t="n">
        <f aca="false">-C34*$B$29</f>
        <v>-600</v>
      </c>
      <c r="D35" s="17" t="n">
        <f aca="false">-D34*$B$29</f>
        <v>-780</v>
      </c>
      <c r="E35" s="17" t="n">
        <f aca="false">-E34*$B$29</f>
        <v>-960</v>
      </c>
    </row>
    <row r="36" customFormat="false" ht="15" hidden="false" customHeight="false" outlineLevel="0" collapsed="false">
      <c r="A36" s="16" t="s">
        <v>34</v>
      </c>
      <c r="C36" s="17" t="n">
        <f aca="false">-C34*$B$30</f>
        <v>-1200</v>
      </c>
      <c r="D36" s="17" t="n">
        <f aca="false">-D34*$B$30</f>
        <v>-1560</v>
      </c>
      <c r="E36" s="17" t="n">
        <f aca="false">-E34*$B$30</f>
        <v>-1920</v>
      </c>
    </row>
    <row r="37" customFormat="false" ht="15" hidden="false" customHeight="false" outlineLevel="0" collapsed="false">
      <c r="A37" s="16" t="s">
        <v>17</v>
      </c>
      <c r="C37" s="17" t="n">
        <f aca="false">-$B$21</f>
        <v>-6600</v>
      </c>
      <c r="D37" s="17" t="n">
        <f aca="false">-$B$21</f>
        <v>-6600</v>
      </c>
      <c r="E37" s="17" t="n">
        <f aca="false">-$B$21</f>
        <v>-6600</v>
      </c>
    </row>
    <row r="38" customFormat="false" ht="15" hidden="false" customHeight="false" outlineLevel="0" collapsed="false">
      <c r="A38" s="16" t="s">
        <v>18</v>
      </c>
      <c r="C38" s="17" t="n">
        <f aca="false">-$B$22</f>
        <v>-3000</v>
      </c>
      <c r="D38" s="17" t="n">
        <f aca="false">-$B$22</f>
        <v>-3000</v>
      </c>
      <c r="E38" s="17" t="n">
        <f aca="false">-$B$22</f>
        <v>-3000</v>
      </c>
    </row>
    <row r="39" customFormat="false" ht="15" hidden="false" customHeight="false" outlineLevel="0" collapsed="false">
      <c r="A39" s="16" t="s">
        <v>35</v>
      </c>
      <c r="C39" s="17" t="n">
        <f aca="false">-$B$23</f>
        <v>-1100</v>
      </c>
      <c r="D39" s="17" t="n">
        <f aca="false">-$B$23</f>
        <v>-1100</v>
      </c>
      <c r="E39" s="17" t="n">
        <f aca="false">-$B$23</f>
        <v>-1100</v>
      </c>
    </row>
    <row r="40" customFormat="false" ht="15" hidden="false" customHeight="false" outlineLevel="0" collapsed="false">
      <c r="A40" s="16" t="s">
        <v>36</v>
      </c>
      <c r="C40" s="17" t="n">
        <f aca="false">-$B$24</f>
        <v>-1800</v>
      </c>
      <c r="D40" s="17" t="n">
        <f aca="false">-$B$24</f>
        <v>-1800</v>
      </c>
      <c r="E40" s="17" t="n">
        <f aca="false">-$B$24</f>
        <v>-1800</v>
      </c>
    </row>
    <row r="41" customFormat="false" ht="15" hidden="false" customHeight="false" outlineLevel="0" collapsed="false">
      <c r="A41" s="16" t="s">
        <v>37</v>
      </c>
      <c r="C41" s="17" t="n">
        <f aca="false">-$B$25</f>
        <v>-1200</v>
      </c>
      <c r="D41" s="17" t="n">
        <f aca="false">-$B$25</f>
        <v>-1200</v>
      </c>
      <c r="E41" s="17" t="n">
        <f aca="false">-$B$25</f>
        <v>-1200</v>
      </c>
    </row>
    <row r="42" customFormat="false" ht="15" hidden="false" customHeight="false" outlineLevel="0" collapsed="false">
      <c r="A42" s="16" t="s">
        <v>22</v>
      </c>
      <c r="C42" s="17" t="n">
        <f aca="false">-$B$26</f>
        <v>-1000</v>
      </c>
      <c r="D42" s="17" t="n">
        <f aca="false">-$B$26</f>
        <v>-1000</v>
      </c>
      <c r="E42" s="17" t="n">
        <f aca="false">-$B$26</f>
        <v>-1000</v>
      </c>
    </row>
    <row r="43" customFormat="false" ht="15" hidden="false" customHeight="false" outlineLevel="0" collapsed="false">
      <c r="A43" s="16" t="s">
        <v>38</v>
      </c>
      <c r="C43" s="17" t="n">
        <f aca="false">-$B$27</f>
        <v>-500</v>
      </c>
      <c r="D43" s="17" t="n">
        <f aca="false">-$B$27</f>
        <v>-500</v>
      </c>
      <c r="E43" s="17" t="n">
        <f aca="false">-$B$27</f>
        <v>-500</v>
      </c>
    </row>
    <row r="44" customFormat="false" ht="15" hidden="false" customHeight="false" outlineLevel="0" collapsed="false">
      <c r="A44" s="16" t="s">
        <v>39</v>
      </c>
      <c r="C44" s="17" t="n">
        <f aca="false">-$B$28</f>
        <v>-1200</v>
      </c>
      <c r="D44" s="17" t="n">
        <f aca="false">-$B$28</f>
        <v>-1200</v>
      </c>
      <c r="E44" s="17" t="n">
        <f aca="false">-$B$28</f>
        <v>-1200</v>
      </c>
    </row>
    <row r="45" customFormat="false" ht="15" hidden="false" customHeight="false" outlineLevel="0" collapsed="false">
      <c r="A45" s="14" t="s">
        <v>40</v>
      </c>
      <c r="C45" s="18" t="n">
        <f aca="false">SUM(C35:C44)</f>
        <v>-18200</v>
      </c>
      <c r="D45" s="18" t="n">
        <f aca="false">SUM(D35:D44)</f>
        <v>-18740</v>
      </c>
      <c r="E45" s="18" t="n">
        <f aca="false">SUM(E35:E44)</f>
        <v>-19280</v>
      </c>
    </row>
    <row r="46" customFormat="false" ht="15" hidden="false" customHeight="false" outlineLevel="0" collapsed="false">
      <c r="A46" s="19" t="s">
        <v>41</v>
      </c>
      <c r="C46" s="20" t="n">
        <f aca="false">C34+C45</f>
        <v>1800</v>
      </c>
      <c r="D46" s="20" t="n">
        <f aca="false">D34+D45</f>
        <v>7260</v>
      </c>
      <c r="E46" s="20" t="n">
        <f aca="false">E34+E45</f>
        <v>12720</v>
      </c>
    </row>
    <row r="47" customFormat="false" ht="15" hidden="false" customHeight="false" outlineLevel="0" collapsed="false">
      <c r="A47" s="16" t="s">
        <v>42</v>
      </c>
      <c r="C47" s="17" t="n">
        <f aca="false">-$B$12</f>
        <v>-18418.7595615172</v>
      </c>
      <c r="D47" s="17" t="n">
        <f aca="false">-$B$12</f>
        <v>-18418.7595615172</v>
      </c>
      <c r="E47" s="17" t="n">
        <f aca="false">-$B$12</f>
        <v>-18418.7595615172</v>
      </c>
    </row>
    <row r="48" customFormat="false" ht="15" hidden="false" customHeight="false" outlineLevel="0" collapsed="false">
      <c r="A48" s="14" t="s">
        <v>43</v>
      </c>
      <c r="C48" s="18" t="n">
        <f aca="false">C46+C47</f>
        <v>-16618.7595615172</v>
      </c>
      <c r="D48" s="18" t="n">
        <f aca="false">D46+D47</f>
        <v>-11158.7595615172</v>
      </c>
      <c r="E48" s="18" t="n">
        <f aca="false">E46+E47</f>
        <v>-5698.75956151718</v>
      </c>
    </row>
    <row r="49" customFormat="false" ht="15" hidden="false" customHeight="false" outlineLevel="0" collapsed="false">
      <c r="A49" s="21" t="s">
        <v>44</v>
      </c>
      <c r="C49" s="22" t="n">
        <f aca="false">C48/12</f>
        <v>-1384.89663012643</v>
      </c>
      <c r="D49" s="22" t="n">
        <f aca="false">D48/12</f>
        <v>-929.896630126432</v>
      </c>
      <c r="E49" s="22" t="n">
        <f aca="false">E48/12</f>
        <v>-474.896630126432</v>
      </c>
    </row>
    <row r="50" customFormat="false" ht="15" hidden="false" customHeight="false" outlineLevel="0" collapsed="false">
      <c r="A50" s="23"/>
      <c r="C50" s="23"/>
      <c r="D50" s="23"/>
      <c r="E50" s="23"/>
    </row>
    <row r="51" customFormat="false" ht="15" hidden="false" customHeight="false" outlineLevel="0" collapsed="false">
      <c r="A51" s="19" t="s">
        <v>45</v>
      </c>
      <c r="B51" s="19"/>
      <c r="C51" s="19"/>
      <c r="D51" s="19"/>
      <c r="E51" s="19"/>
    </row>
    <row r="52" customFormat="false" ht="15" hidden="false" customHeight="false" outlineLevel="0" collapsed="false">
      <c r="A52" s="16" t="s">
        <v>46</v>
      </c>
      <c r="C52" s="24" t="n">
        <f aca="false">C46/($B$5+$B$16+$B$17)</f>
        <v>0.00573248407643312</v>
      </c>
      <c r="D52" s="24" t="n">
        <f aca="false">D46/($B$5+$B$16+$B$17)</f>
        <v>0.0231210191082803</v>
      </c>
      <c r="E52" s="24" t="n">
        <f aca="false">E46/($B$5+$B$16+$B$17)</f>
        <v>0.0405095541401274</v>
      </c>
    </row>
    <row r="53" customFormat="false" ht="15" hidden="false" customHeight="false" outlineLevel="0" collapsed="false">
      <c r="A53" s="14" t="s">
        <v>47</v>
      </c>
      <c r="C53" s="25" t="n">
        <f aca="false">C48/$B$18</f>
        <v>-0.186727635522665</v>
      </c>
      <c r="D53" s="25" t="n">
        <f aca="false">D48/$B$18</f>
        <v>-0.125379320915923</v>
      </c>
      <c r="E53" s="25" t="n">
        <f aca="false">E48/$B$18</f>
        <v>-0.0640310063091818</v>
      </c>
    </row>
    <row r="54" customFormat="false" ht="15" hidden="false" customHeight="false" outlineLevel="0" collapsed="false">
      <c r="A54" s="16" t="s">
        <v>48</v>
      </c>
      <c r="C54" s="26" t="n">
        <f aca="false">C46/$B$12</f>
        <v>0.0977264507953505</v>
      </c>
      <c r="D54" s="26" t="n">
        <f aca="false">D46/$B$12</f>
        <v>0.394163351541247</v>
      </c>
      <c r="E54" s="26" t="n">
        <f aca="false">E46/$B$12</f>
        <v>0.690600252287143</v>
      </c>
    </row>
    <row r="55" customFormat="false" ht="15" hidden="false" customHeight="false" outlineLevel="0" collapsed="false">
      <c r="A55" s="16" t="s">
        <v>49</v>
      </c>
      <c r="C55" s="17" t="n">
        <f aca="false">($B$21+$B$22+$B$23+$B$24+$B$25+$B$26+$B$27+$B$28+$B$12)/(1-$B$29-$B$30)</f>
        <v>38262.3731445244</v>
      </c>
      <c r="D55" s="17" t="n">
        <f aca="false">($B$21+$B$22+$B$23+$B$24+$B$25+$B$26+$B$27+$B$28+$B$12)/(1-$B$29-$B$30)</f>
        <v>38262.3731445244</v>
      </c>
      <c r="E55" s="17" t="n">
        <f aca="false">($B$21+$B$22+$B$23+$B$24+$B$25+$B$26+$B$27+$B$28+$B$12)/(1-$B$29-$B$30)</f>
        <v>38262.3731445244</v>
      </c>
    </row>
    <row r="56" customFormat="false" ht="15" hidden="false" customHeight="false" outlineLevel="0" collapsed="false">
      <c r="A56" s="27" t="s">
        <v>50</v>
      </c>
      <c r="C56" s="28" t="n">
        <f aca="false">C34*0.2</f>
        <v>4000</v>
      </c>
      <c r="D56" s="28" t="n">
        <f aca="false">D34*0.2</f>
        <v>5200</v>
      </c>
      <c r="E56" s="28" t="n">
        <f aca="false">E34*0.2</f>
        <v>6400</v>
      </c>
    </row>
  </sheetData>
  <mergeCells count="7">
    <mergeCell ref="A1:E1"/>
    <mergeCell ref="A2:E2"/>
    <mergeCell ref="A4:E4"/>
    <mergeCell ref="A14:E14"/>
    <mergeCell ref="A20:E20"/>
    <mergeCell ref="A32:E32"/>
    <mergeCell ref="A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9" t="s">
        <v>51</v>
      </c>
    </row>
    <row r="2" customFormat="false" ht="15" hidden="false" customHeight="false" outlineLevel="0" collapsed="false">
      <c r="A2" s="30"/>
    </row>
    <row r="3" customFormat="false" ht="15" hidden="false" customHeight="false" outlineLevel="0" collapsed="false">
      <c r="A3" s="30" t="s">
        <v>52</v>
      </c>
    </row>
    <row r="4" customFormat="false" ht="15" hidden="false" customHeight="false" outlineLevel="0" collapsed="false">
      <c r="A4" s="30"/>
    </row>
    <row r="5" customFormat="false" ht="15" hidden="false" customHeight="false" outlineLevel="0" collapsed="false">
      <c r="A5" s="31" t="s">
        <v>53</v>
      </c>
    </row>
    <row r="6" customFormat="false" ht="35.05" hidden="false" customHeight="false" outlineLevel="0" collapsed="false">
      <c r="A6" s="30" t="s">
        <v>54</v>
      </c>
    </row>
    <row r="7" customFormat="false" ht="35.05" hidden="false" customHeight="false" outlineLevel="0" collapsed="false">
      <c r="A7" s="30" t="s">
        <v>55</v>
      </c>
    </row>
    <row r="8" customFormat="false" ht="15" hidden="false" customHeight="false" outlineLevel="0" collapsed="false">
      <c r="A8" s="30"/>
    </row>
    <row r="9" customFormat="false" ht="35.05" hidden="false" customHeight="false" outlineLevel="0" collapsed="false">
      <c r="A9" s="30" t="s">
        <v>56</v>
      </c>
    </row>
    <row r="10" customFormat="false" ht="15" hidden="false" customHeight="false" outlineLevel="0" collapsed="false">
      <c r="A10" s="30"/>
    </row>
    <row r="11" customFormat="false" ht="46.25" hidden="false" customHeight="false" outlineLevel="0" collapsed="false">
      <c r="A11" s="30" t="s">
        <v>57</v>
      </c>
    </row>
    <row r="12" customFormat="false" ht="15" hidden="false" customHeight="false" outlineLevel="0" collapsed="false">
      <c r="A12" s="30"/>
    </row>
    <row r="13" customFormat="false" ht="35.05" hidden="false" customHeight="false" outlineLevel="0" collapsed="false">
      <c r="A13" s="30" t="s">
        <v>58</v>
      </c>
    </row>
    <row r="14" customFormat="false" ht="15" hidden="false" customHeight="false" outlineLevel="0" collapsed="false">
      <c r="A14" s="30"/>
    </row>
    <row r="15" customFormat="false" ht="35.05" hidden="false" customHeight="false" outlineLevel="0" collapsed="false">
      <c r="A15" s="30" t="s">
        <v>59</v>
      </c>
    </row>
    <row r="16" customFormat="false" ht="15" hidden="false" customHeight="false" outlineLevel="0" collapsed="false">
      <c r="A16" s="30"/>
    </row>
    <row r="17" customFormat="false" ht="35.05" hidden="false" customHeight="false" outlineLevel="0" collapsed="false">
      <c r="A17" s="30" t="s">
        <v>60</v>
      </c>
    </row>
    <row r="18" customFormat="false" ht="15" hidden="false" customHeight="false" outlineLevel="0" collapsed="false">
      <c r="A18" s="30"/>
    </row>
    <row r="19" customFormat="false" ht="32.8" hidden="false" customHeight="false" outlineLevel="0" collapsed="false">
      <c r="A19" s="32"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2026-08-11T23:06:56Z</dcterms:created>
  <dc:creator>openpyxl</dc:creator>
  <dc:description/>
  <dc:language>en-US</dc:language>
  <cp:lastModifiedBy/>
  <dcterms:modified xsi:type="dcterms:W3CDTF">2026-08-11T23:06:56Z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